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filterPrivacy="1" codeName="ThisWorkbook"/>
  <xr:revisionPtr revIDLastSave="205" documentId="13_ncr:1_{52140B85-823B-4374-8549-8432E6367750}" xr6:coauthVersionLast="47" xr6:coauthVersionMax="47" xr10:uidLastSave="{7152D31F-0361-429D-B808-64F57F7B7ECB}"/>
  <bookViews>
    <workbookView xWindow="1755" yWindow="1860" windowWidth="28785" windowHeight="17730" xr2:uid="{00000000-000D-0000-FFFF-FFFF00000000}"/>
  </bookViews>
  <sheets>
    <sheet name="README" sheetId="3" r:id="rId1"/>
    <sheet name="氏名突合・推定" sheetId="1" r:id="rId2"/>
    <sheet name="API設定" sheetId="2" r:id="rId3"/>
  </sheets>
  <functionGroups builtInGroupCount="19"/>
  <definedNames>
    <definedName name="_xlnm.Print_Area" localSheetId="2">API設定!$A$1:$B$2</definedName>
    <definedName name="_xlnm.Print_Area" localSheetId="0">README!$A$1:$AK$34</definedName>
    <definedName name="_xlnm.Print_Area" localSheetId="1">氏名突合・推定!$A$1:$F$20</definedName>
    <definedName name="_xlnm.Print_Titles" localSheetId="1">氏名突合・推定!$1:$1</definedName>
  </definedNames>
  <calcPr calcId="191028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7" i="1" l="1" a="1"/>
  <c r="C17" i="1"/>
  <c r="D17" i="1" a="1"/>
  <c r="D17" i="1"/>
  <c r="E17" i="1" a="1"/>
  <c r="E17" i="1"/>
  <c r="F17" i="1" a="1"/>
  <c r="F17" i="1"/>
  <c r="C18" i="1" a="1"/>
  <c r="C18" i="1"/>
  <c r="D18" i="1" a="1"/>
  <c r="D18" i="1"/>
  <c r="E18" i="1" a="1"/>
  <c r="E18" i="1"/>
  <c r="F18" i="1" a="1"/>
  <c r="F18" i="1"/>
  <c r="C19" i="1" a="1"/>
  <c r="C19" i="1"/>
  <c r="D19" i="1" a="1"/>
  <c r="D19" i="1"/>
  <c r="E19" i="1" a="1"/>
  <c r="E19" i="1"/>
  <c r="F19" i="1" a="1"/>
  <c r="F19" i="1"/>
  <c r="C20" i="1" a="1"/>
  <c r="C20" i="1"/>
  <c r="D20" i="1" a="1"/>
  <c r="D20" i="1"/>
  <c r="E20" i="1" a="1"/>
  <c r="E20" i="1"/>
  <c r="F20" i="1" a="1"/>
  <c r="F20" i="1"/>
  <c r="F2" i="1" a="1"/>
  <c r="D2" i="1" a="1"/>
  <c r="C3" i="1" a="1"/>
  <c r="E3" i="1" a="1"/>
  <c r="C5" i="1" a="1"/>
  <c r="E6" i="1" a="1"/>
  <c r="C8" i="1" a="1"/>
  <c r="E9" i="1" a="1"/>
  <c r="C11" i="1" a="1"/>
  <c r="E12" i="1" a="1"/>
  <c r="C14" i="1" a="1"/>
  <c r="E15" i="1" a="1"/>
  <c r="F3" i="1" a="1"/>
  <c r="D5" i="1" a="1"/>
  <c r="F6" i="1" a="1"/>
  <c r="D8" i="1" a="1"/>
  <c r="F9" i="1" a="1"/>
  <c r="D11" i="1" a="1"/>
  <c r="F12" i="1" a="1"/>
  <c r="D14" i="1" a="1"/>
  <c r="F15" i="1" a="1"/>
  <c r="C4" i="1" a="1"/>
  <c r="E5" i="1" a="1"/>
  <c r="C7" i="1" a="1"/>
  <c r="E8" i="1" a="1"/>
  <c r="C10" i="1" a="1"/>
  <c r="E11" i="1" a="1"/>
  <c r="C13" i="1" a="1"/>
  <c r="E14" i="1" a="1"/>
  <c r="C16" i="1" a="1"/>
  <c r="D4" i="1" a="1"/>
  <c r="F5" i="1" a="1"/>
  <c r="D7" i="1" a="1"/>
  <c r="F8" i="1" a="1"/>
  <c r="D10" i="1" a="1"/>
  <c r="F11" i="1" a="1"/>
  <c r="D13" i="1" a="1"/>
  <c r="F14" i="1" a="1"/>
  <c r="D16" i="1" a="1"/>
  <c r="E4" i="1" a="1"/>
  <c r="C6" i="1" a="1"/>
  <c r="E7" i="1" a="1"/>
  <c r="C9" i="1" a="1"/>
  <c r="E10" i="1" a="1"/>
  <c r="C12" i="1" a="1"/>
  <c r="E13" i="1" a="1"/>
  <c r="C15" i="1" a="1"/>
  <c r="E16" i="1" a="1"/>
  <c r="D3" i="1" a="1"/>
  <c r="F4" i="1" a="1"/>
  <c r="D6" i="1" a="1"/>
  <c r="F7" i="1" a="1"/>
  <c r="D9" i="1" a="1"/>
  <c r="F10" i="1" a="1"/>
  <c r="D12" i="1" a="1"/>
  <c r="F13" i="1" a="1"/>
  <c r="D15" i="1" a="1"/>
  <c r="F16" i="1" a="1"/>
  <c r="C2" i="1" a="1"/>
  <c r="E2" i="1" a="1"/>
  <c r="D2" i="1" l="1"/>
  <c r="F2" i="1"/>
  <c r="F16" i="1"/>
  <c r="D15" i="1"/>
  <c r="F13" i="1"/>
  <c r="D12" i="1"/>
  <c r="F10" i="1"/>
  <c r="D9" i="1"/>
  <c r="F7" i="1"/>
  <c r="D6" i="1"/>
  <c r="F4" i="1"/>
  <c r="D3" i="1"/>
  <c r="E16" i="1"/>
  <c r="C15" i="1"/>
  <c r="E13" i="1"/>
  <c r="C12" i="1"/>
  <c r="E10" i="1"/>
  <c r="C9" i="1"/>
  <c r="E7" i="1"/>
  <c r="C6" i="1"/>
  <c r="E4" i="1"/>
  <c r="D16" i="1"/>
  <c r="F14" i="1"/>
  <c r="D13" i="1"/>
  <c r="F11" i="1"/>
  <c r="D10" i="1"/>
  <c r="F8" i="1"/>
  <c r="D7" i="1"/>
  <c r="F5" i="1"/>
  <c r="D4" i="1"/>
  <c r="C16" i="1"/>
  <c r="E14" i="1"/>
  <c r="C13" i="1"/>
  <c r="E11" i="1"/>
  <c r="C10" i="1"/>
  <c r="E8" i="1"/>
  <c r="C7" i="1"/>
  <c r="E5" i="1"/>
  <c r="C4" i="1"/>
  <c r="F15" i="1"/>
  <c r="D14" i="1"/>
  <c r="F12" i="1"/>
  <c r="D11" i="1"/>
  <c r="F9" i="1"/>
  <c r="D8" i="1"/>
  <c r="F6" i="1"/>
  <c r="D5" i="1"/>
  <c r="F3" i="1"/>
  <c r="E15" i="1"/>
  <c r="C14" i="1"/>
  <c r="E12" i="1"/>
  <c r="C11" i="1"/>
  <c r="E9" i="1"/>
  <c r="C8" i="1"/>
  <c r="E6" i="1"/>
  <c r="C5" i="1"/>
  <c r="E3" i="1"/>
  <c r="C3" i="1"/>
  <c r="E2" i="1"/>
  <c r="C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<sst xmlns="http://schemas.openxmlformats.org/spreadsheetml/2006/main" count="108" uniqueCount="75">
  <si>
    <t>山田　太郎</t>
    <rPh sb="0" eb="2">
      <t>ヤマダ</t>
    </rPh>
    <rPh sb="3" eb="5">
      <t>タロウ</t>
    </rPh>
    <phoneticPr fontId="1"/>
  </si>
  <si>
    <t>ヤマダ　タロウ</t>
    <phoneticPr fontId="1"/>
  </si>
  <si>
    <t>ニッポン　イチロウ</t>
    <phoneticPr fontId="1"/>
  </si>
  <si>
    <t>日本　一郎</t>
    <rPh sb="0" eb="2">
      <t>ニホン</t>
    </rPh>
    <rPh sb="3" eb="5">
      <t>イチロウ</t>
    </rPh>
    <phoneticPr fontId="1"/>
  </si>
  <si>
    <t>ビリー　ジョエル</t>
    <phoneticPr fontId="1"/>
  </si>
  <si>
    <t>マイケル　ジャクソン</t>
    <phoneticPr fontId="1"/>
  </si>
  <si>
    <t>トウキョウ　ハナコ</t>
    <phoneticPr fontId="1"/>
  </si>
  <si>
    <t>トウキョウ　タロウ</t>
    <phoneticPr fontId="1"/>
  </si>
  <si>
    <t>ビリー　タロウ</t>
    <phoneticPr fontId="1"/>
  </si>
  <si>
    <t>タナカ　ケンタ</t>
    <phoneticPr fontId="1"/>
  </si>
  <si>
    <t>アリック　アーリア　アーバン</t>
    <phoneticPr fontId="1"/>
  </si>
  <si>
    <t>アリック　アーリアアーバン</t>
    <phoneticPr fontId="1"/>
  </si>
  <si>
    <t>アリック　アリア　ケビン</t>
    <phoneticPr fontId="1"/>
  </si>
  <si>
    <t>簡易モデル</t>
    <rPh sb="0" eb="2">
      <t>カンイ</t>
    </rPh>
    <phoneticPr fontId="1"/>
  </si>
  <si>
    <t>詳細モデル</t>
    <rPh sb="0" eb="2">
      <t>ショウサイ</t>
    </rPh>
    <phoneticPr fontId="1"/>
  </si>
  <si>
    <t>アリック　アリア　イラビン</t>
    <phoneticPr fontId="1"/>
  </si>
  <si>
    <t>氏名漢字カナ突合API用Excelサンプル</t>
    <rPh sb="0" eb="2">
      <t xml:space="preserve">シメイ </t>
    </rPh>
    <rPh sb="2" eb="4">
      <t xml:space="preserve">カンジ </t>
    </rPh>
    <rPh sb="6" eb="8">
      <t xml:space="preserve">トツゴウ </t>
    </rPh>
    <rPh sb="11" eb="12">
      <t xml:space="preserve">ヨウ </t>
    </rPh>
    <phoneticPr fontId="1"/>
  </si>
  <si>
    <t>１　概要</t>
    <rPh sb="2" eb="4">
      <t xml:space="preserve">ガイヨウ </t>
    </rPh>
    <phoneticPr fontId="1"/>
  </si>
  <si>
    <t>３　使い方</t>
    <rPh sb="2" eb="3">
      <t xml:space="preserve">ツカイカタ </t>
    </rPh>
    <phoneticPr fontId="1"/>
  </si>
  <si>
    <t>２　事前準備</t>
    <rPh sb="2" eb="6">
      <t xml:space="preserve">ジゼンジュンビ </t>
    </rPh>
    <phoneticPr fontId="1"/>
  </si>
  <si>
    <t>　</t>
    <phoneticPr fontId="1"/>
  </si>
  <si>
    <t>４　制限事項</t>
    <rPh sb="2" eb="6">
      <t xml:space="preserve">セイゲンジコウ </t>
    </rPh>
    <phoneticPr fontId="1"/>
  </si>
  <si>
    <t>https://api.kktg.digital.go.jp/v1/</t>
    <phoneticPr fontId="1"/>
  </si>
  <si>
    <t>REPLACE_WITH_YOUR_API_KEY</t>
    <phoneticPr fontId="1"/>
  </si>
  <si>
    <t>漢字氏名</t>
    <rPh sb="0" eb="2">
      <t>カンジ</t>
    </rPh>
    <rPh sb="2" eb="4">
      <t>シメイ</t>
    </rPh>
    <phoneticPr fontId="1"/>
  </si>
  <si>
    <t>カナ氏名</t>
    <rPh sb="2" eb="4">
      <t>シメイ</t>
    </rPh>
    <phoneticPr fontId="1"/>
  </si>
  <si>
    <t>ＢＩＬＬＹ　ＪＯＥＬ</t>
  </si>
  <si>
    <t>ＭＩＣＨＥＬ　ＪＡＣＫＳＯＮ</t>
  </si>
  <si>
    <t>日本一郎</t>
  </si>
  <si>
    <t>日本［東京］　花子</t>
  </si>
  <si>
    <t>ＢＩＬＬＹ　ＪＯＥＬ＿東京　太郎</t>
  </si>
  <si>
    <t>ＢＩＬＬＹ　ＪＯＥＬ＿東京　太郎（田中　健太）</t>
  </si>
  <si>
    <t>ＡＲＩＣ　ＡＬＩＡ　ＩＲＶＩＮ</t>
  </si>
  <si>
    <t>漢字→カナ推定</t>
    <rPh sb="0" eb="3">
      <t>カンジミギ</t>
    </rPh>
    <rPh sb="5" eb="7">
      <t>スイテイ</t>
    </rPh>
    <phoneticPr fontId="1"/>
  </si>
  <si>
    <t>カナ→漢字推定</t>
    <rPh sb="3" eb="5">
      <t>カンジ</t>
    </rPh>
    <rPh sb="5" eb="7">
      <t>スイテイ</t>
    </rPh>
    <phoneticPr fontId="1"/>
  </si>
  <si>
    <t>推定（漢字→カナ）：　</t>
    <rPh sb="0" eb="2">
      <t>スイテイ</t>
    </rPh>
    <rPh sb="3" eb="5">
      <t>カンジ</t>
    </rPh>
    <phoneticPr fontId="1"/>
  </si>
  <si>
    <t>推定（カナ→漢字）：　</t>
    <rPh sb="0" eb="2">
      <t>スイテイ</t>
    </rPh>
    <rPh sb="6" eb="8">
      <t>カンジ</t>
    </rPh>
    <phoneticPr fontId="1"/>
  </si>
  <si>
    <t>突合（簡易モデル）：　</t>
    <rPh sb="0" eb="2">
      <t>トツゴウ</t>
    </rPh>
    <rPh sb="3" eb="5">
      <t xml:space="preserve">カンイモデル </t>
    </rPh>
    <phoneticPr fontId="1"/>
  </si>
  <si>
    <t>突合（詳細モデル）：　</t>
    <rPh sb="0" eb="2">
      <t>トツゴウ</t>
    </rPh>
    <rPh sb="3" eb="5">
      <t xml:space="preserve">ショウサイモデル </t>
    </rPh>
    <phoneticPr fontId="1"/>
  </si>
  <si>
    <t>突合：</t>
    <phoneticPr fontId="1"/>
  </si>
  <si>
    <t>推定：</t>
    <rPh sb="0" eb="2">
      <t>スイテイ</t>
    </rPh>
    <phoneticPr fontId="1"/>
  </si>
  <si>
    <t>漢字氏名とカナ氏名が一致してると判断された場合「TRUE」、一致していないと判断された場合「FALSE」</t>
    <rPh sb="2" eb="4">
      <t>シメイ</t>
    </rPh>
    <rPh sb="7" eb="9">
      <t>シメイ</t>
    </rPh>
    <rPh sb="16" eb="18">
      <t>ハンダン</t>
    </rPh>
    <rPh sb="21" eb="23">
      <t>バアイ</t>
    </rPh>
    <phoneticPr fontId="1"/>
  </si>
  <si>
    <t>①</t>
    <phoneticPr fontId="1"/>
  </si>
  <si>
    <t>氏名突合支援サービスサポートサイト（https://kktg.digital.go.jp/）を確認し、APIキー取得してください。</t>
  </si>
  <si>
    <t>②</t>
    <phoneticPr fontId="1"/>
  </si>
  <si>
    <t>本Excelブックは氏名漢字カナ突合APIを利用するためのサンプルです。</t>
    <rPh sb="0" eb="1">
      <t xml:space="preserve">ホン </t>
    </rPh>
    <rPh sb="10" eb="12">
      <t xml:space="preserve">シメイ </t>
    </rPh>
    <rPh sb="12" eb="14">
      <t xml:space="preserve">カンジ </t>
    </rPh>
    <rPh sb="16" eb="18">
      <t xml:space="preserve">トツゴウ </t>
    </rPh>
    <rPh sb="22" eb="24">
      <t xml:space="preserve">リヨウスルタメノ </t>
    </rPh>
    <phoneticPr fontId="1"/>
  </si>
  <si>
    <t>「氏名突合・推定」シートにて以下の操作を行ってください。</t>
    <rPh sb="14" eb="16">
      <t>イカ</t>
    </rPh>
    <rPh sb="17" eb="19">
      <t>ソウサ</t>
    </rPh>
    <rPh sb="20" eb="21">
      <t>オコナ</t>
    </rPh>
    <phoneticPr fontId="1"/>
  </si>
  <si>
    <t>A列（R1C1参照：1列目）に「漢字氏名」を入力（姓と名の間は全角空白）</t>
  </si>
  <si>
    <t>B列（R1C1参照：1列目）に「カナ氏名」を入力（姓と名の間は全角空白）</t>
  </si>
  <si>
    <t>③</t>
    <phoneticPr fontId="1"/>
  </si>
  <si>
    <t>判定結果を出力したいセルに関数を入力</t>
  </si>
  <si>
    <t>④</t>
    <phoneticPr fontId="1"/>
  </si>
  <si>
    <t>関数を入力したセルに結果が入ります。</t>
    <rPh sb="10" eb="12">
      <t>ケッカ</t>
    </rPh>
    <rPh sb="13" eb="14">
      <t>ハイ</t>
    </rPh>
    <phoneticPr fontId="1"/>
  </si>
  <si>
    <t>インターネット接続が必要です。</t>
    <phoneticPr fontId="1"/>
  </si>
  <si>
    <t>現状ではWindowsのみに対応し、Macには対応していません。</t>
    <rPh sb="0" eb="2">
      <t xml:space="preserve">ゲンジョウデハ </t>
    </rPh>
    <rPh sb="14" eb="16">
      <t>タイオウ</t>
    </rPh>
    <phoneticPr fontId="1"/>
  </si>
  <si>
    <t>突合：　</t>
    <rPh sb="0" eb="2">
      <t>トツゴウ</t>
    </rPh>
    <phoneticPr fontId="1"/>
  </si>
  <si>
    <r>
      <t>=MatchName(</t>
    </r>
    <r>
      <rPr>
        <u/>
        <sz val="11"/>
        <color theme="1"/>
        <rFont val="游ゴシック"/>
        <family val="3"/>
        <charset val="128"/>
        <scheme val="minor"/>
      </rPr>
      <t>漢字</t>
    </r>
    <r>
      <rPr>
        <sz val="11"/>
        <color theme="1"/>
        <rFont val="游ゴシック"/>
        <family val="3"/>
        <charset val="128"/>
        <scheme val="minor"/>
      </rPr>
      <t xml:space="preserve">, </t>
    </r>
    <r>
      <rPr>
        <u/>
        <sz val="11"/>
        <color theme="1"/>
        <rFont val="游ゴシック"/>
        <family val="3"/>
        <charset val="128"/>
        <scheme val="minor"/>
      </rPr>
      <t>カナ</t>
    </r>
    <r>
      <rPr>
        <sz val="11"/>
        <color theme="1"/>
        <rFont val="游ゴシック"/>
        <family val="3"/>
        <charset val="128"/>
        <scheme val="minor"/>
      </rPr>
      <t xml:space="preserve">, [詳細モデル利用フラグ])  </t>
    </r>
    <rPh sb="20" eb="22">
      <t>ショウサイ</t>
    </rPh>
    <rPh sb="25" eb="27">
      <t>リヨウ</t>
    </rPh>
    <phoneticPr fontId="1"/>
  </si>
  <si>
    <t>■構文（凡例：下線＝必須引数、[]＝任意引数）</t>
    <rPh sb="1" eb="3">
      <t>コウブン</t>
    </rPh>
    <rPh sb="4" eb="6">
      <t>ハンレイ</t>
    </rPh>
    <rPh sb="7" eb="9">
      <t>カセン</t>
    </rPh>
    <rPh sb="10" eb="12">
      <t>ヒッス</t>
    </rPh>
    <rPh sb="12" eb="14">
      <t>ヒキスウ</t>
    </rPh>
    <rPh sb="18" eb="20">
      <t>ニンイ</t>
    </rPh>
    <rPh sb="20" eb="22">
      <t>ヒキスウ</t>
    </rPh>
    <phoneticPr fontId="1"/>
  </si>
  <si>
    <t>=MatchName(A2, B2)</t>
    <phoneticPr fontId="1"/>
  </si>
  <si>
    <t>=MatchName(A2, B2, TRUE)</t>
    <phoneticPr fontId="1"/>
  </si>
  <si>
    <t xml:space="preserve">=PredictKana(A2, 5)  </t>
    <phoneticPr fontId="1"/>
  </si>
  <si>
    <t>■関数例</t>
    <rPh sb="1" eb="3">
      <t>カンスウ</t>
    </rPh>
    <rPh sb="3" eb="4">
      <t>レイ</t>
    </rPh>
    <phoneticPr fontId="1"/>
  </si>
  <si>
    <t xml:space="preserve">=PredictKanji(B2, 10)  </t>
    <phoneticPr fontId="1"/>
  </si>
  <si>
    <t>// 10候補表示</t>
    <rPh sb="5" eb="7">
      <t>コウホ</t>
    </rPh>
    <rPh sb="7" eb="9">
      <t>ヒョウジ</t>
    </rPh>
    <phoneticPr fontId="1"/>
  </si>
  <si>
    <t>// 5候補表示</t>
    <rPh sb="4" eb="6">
      <t>コウホ</t>
    </rPh>
    <rPh sb="6" eb="8">
      <t>ヒョウジ</t>
    </rPh>
    <phoneticPr fontId="1"/>
  </si>
  <si>
    <t>// フラグを指定しない場合、FALSE（簡易モデル）で処理</t>
    <rPh sb="7" eb="9">
      <t>シテイ</t>
    </rPh>
    <rPh sb="12" eb="14">
      <t>バアイ</t>
    </rPh>
    <rPh sb="21" eb="23">
      <t>カンイ</t>
    </rPh>
    <rPh sb="28" eb="30">
      <t>ショリ</t>
    </rPh>
    <phoneticPr fontId="1"/>
  </si>
  <si>
    <r>
      <t>=PredictKanji(</t>
    </r>
    <r>
      <rPr>
        <u/>
        <sz val="11"/>
        <color theme="1"/>
        <rFont val="游ゴシック"/>
        <family val="3"/>
        <charset val="128"/>
        <scheme val="minor"/>
      </rPr>
      <t>カナ</t>
    </r>
    <r>
      <rPr>
        <sz val="11"/>
        <color theme="1"/>
        <rFont val="游ゴシック"/>
        <family val="3"/>
        <charset val="128"/>
        <scheme val="minor"/>
      </rPr>
      <t xml:space="preserve">, [返却最大数]) </t>
    </r>
    <rPh sb="19" eb="21">
      <t>ヘンキャク</t>
    </rPh>
    <rPh sb="21" eb="23">
      <t>サイダイ</t>
    </rPh>
    <phoneticPr fontId="1"/>
  </si>
  <si>
    <r>
      <t>=PredictKana(</t>
    </r>
    <r>
      <rPr>
        <u/>
        <sz val="11"/>
        <color theme="1"/>
        <rFont val="游ゴシック"/>
        <family val="3"/>
        <charset val="128"/>
        <scheme val="minor"/>
      </rPr>
      <t>漢字</t>
    </r>
    <r>
      <rPr>
        <sz val="11"/>
        <color theme="1"/>
        <rFont val="游ゴシック"/>
        <family val="3"/>
        <charset val="128"/>
        <scheme val="minor"/>
      </rPr>
      <t xml:space="preserve">, [返却最大数])  </t>
    </r>
    <rPh sb="22" eb="23">
      <t>スウ</t>
    </rPh>
    <rPh sb="23" eb="24">
      <t>ホスウ</t>
    </rPh>
    <phoneticPr fontId="1"/>
  </si>
  <si>
    <t>// 返却最大数を指定しない場合、1</t>
    <rPh sb="3" eb="5">
      <t>ヘンキャク</t>
    </rPh>
    <rPh sb="5" eb="7">
      <t>サイダイ</t>
    </rPh>
    <rPh sb="7" eb="8">
      <t>スウ</t>
    </rPh>
    <rPh sb="9" eb="11">
      <t>シテイ</t>
    </rPh>
    <rPh sb="14" eb="16">
      <t>バアイ</t>
    </rPh>
    <phoneticPr fontId="1"/>
  </si>
  <si>
    <r>
      <t>推定候補の内、最有力候補が表示</t>
    </r>
    <r>
      <rPr>
        <sz val="11"/>
        <color rgb="FFFF0000"/>
        <rFont val="游ゴシック"/>
        <family val="3"/>
        <charset val="128"/>
        <scheme val="minor"/>
      </rPr>
      <t>（※突合機能と比較し、精度があまり高くありません）</t>
    </r>
    <rPh sb="0" eb="2">
      <t>スイテイ</t>
    </rPh>
    <rPh sb="2" eb="4">
      <t>コウホ</t>
    </rPh>
    <rPh sb="5" eb="6">
      <t>ウチ</t>
    </rPh>
    <rPh sb="7" eb="12">
      <t>サイユウリョクコウホ</t>
    </rPh>
    <rPh sb="13" eb="15">
      <t>ヒョウジ</t>
    </rPh>
    <rPh sb="17" eb="19">
      <t>トツゴウ</t>
    </rPh>
    <rPh sb="19" eb="21">
      <t>キノウ</t>
    </rPh>
    <rPh sb="22" eb="24">
      <t>ヒカク</t>
    </rPh>
    <rPh sb="26" eb="28">
      <t>セイド</t>
    </rPh>
    <rPh sb="32" eb="33">
      <t>タカ</t>
    </rPh>
    <phoneticPr fontId="1"/>
  </si>
  <si>
    <t>#</t>
    <phoneticPr fontId="1"/>
  </si>
  <si>
    <t>REPLACE_WITH_YOUR_API_KEY</t>
  </si>
  <si>
    <t>ベースURL</t>
    <phoneticPr fontId="1"/>
  </si>
  <si>
    <t>APIキー</t>
    <phoneticPr fontId="1"/>
  </si>
  <si>
    <t>取得したAPIキーを「設定」シートの「APIキー」の "REPLACE_WITH_YOUR_API_KEY" （B2セル）を置き換える形で入力してください。</t>
    <rPh sb="62" eb="63">
      <t>オ</t>
    </rPh>
    <rPh sb="64" eb="65">
      <t>カ</t>
    </rPh>
    <rPh sb="67" eb="68">
      <t>カタチ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</si>
</sst>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 "/>
  </numFmts>
  <fonts count="6" x14ac:knownFonts="1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u/>
      <sz val="11"/>
      <color theme="1"/>
      <name val="游ゴシック"/>
      <family val="3"/>
      <charset val="128"/>
      <scheme val="minor"/>
    </font>
    <font>
      <sz val="11"/>
      <color rgb="FFFF0000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176" fontId="0" fillId="0" borderId="0" xfId="0" applyNumberFormat="1"/>
    <xf numFmtId="0" fontId="2" fillId="0" borderId="0" xfId="0" applyFont="1"/>
    <xf numFmtId="0" fontId="3" fillId="0" borderId="0" xfId="0" applyFont="1"/>
    <xf numFmtId="0" fontId="0" fillId="0" borderId="0" xfId="0" quotePrefix="1"/>
    <xf numFmtId="0" fontId="2" fillId="0" borderId="1" xfId="0" applyFont="1" applyBorder="1"/>
    <xf numFmtId="0" fontId="3" fillId="2" borderId="1" xfId="0" applyFont="1" applyFill="1" applyBorder="1"/>
    <xf numFmtId="0" fontId="0" fillId="0" borderId="1" xfId="0" applyBorder="1"/>
    <xf numFmtId="0" fontId="3" fillId="2" borderId="1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2" fillId="0" borderId="0" xfId="0" quotePrefix="1" applyFont="1"/>
  </cellXfs>
  <cellStyles count="1">
    <cellStyle name="標準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45F82"/>
      </a:accent1>
      <a:accent2>
        <a:srgbClr val="E87331"/>
      </a:accent2>
      <a:accent3>
        <a:srgbClr val="186C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5DE691-32F1-9548-891F-77FE8A37EC66}">
  <sheetPr codeName="Sheet3">
    <pageSetUpPr fitToPage="1"/>
  </sheetPr>
  <dimension ref="A2:W33"/>
  <sheetViews>
    <sheetView showGridLines="0" tabSelected="1" view="pageBreakPreview" zoomScaleNormal="100" zoomScaleSheetLayoutView="100" workbookViewId="0">
      <selection activeCell="D27" sqref="D27"/>
    </sheetView>
  </sheetViews>
  <sheetFormatPr defaultColWidth="3.625" defaultRowHeight="18.75" x14ac:dyDescent="0.4"/>
  <cols>
    <col min="1" max="1" width="3.625" style="3"/>
  </cols>
  <sheetData>
    <row r="2" spans="1:3" x14ac:dyDescent="0.4">
      <c r="A2" s="3" t="s">
        <v>16</v>
      </c>
    </row>
    <row r="4" spans="1:3" x14ac:dyDescent="0.4">
      <c r="A4" s="3" t="s">
        <v>17</v>
      </c>
    </row>
    <row r="5" spans="1:3" x14ac:dyDescent="0.4">
      <c r="B5" t="s">
        <v>45</v>
      </c>
    </row>
    <row r="7" spans="1:3" x14ac:dyDescent="0.4">
      <c r="A7" s="3" t="s">
        <v>19</v>
      </c>
    </row>
    <row r="8" spans="1:3" x14ac:dyDescent="0.4">
      <c r="B8" t="s">
        <v>42</v>
      </c>
      <c r="C8" t="s">
        <v>43</v>
      </c>
    </row>
    <row r="9" spans="1:3" x14ac:dyDescent="0.4">
      <c r="B9" t="s">
        <v>44</v>
      </c>
      <c r="C9" t="s">
        <v>74</v>
      </c>
    </row>
    <row r="10" spans="1:3" x14ac:dyDescent="0.4">
      <c r="B10" t="s">
        <v>20</v>
      </c>
    </row>
    <row r="11" spans="1:3" x14ac:dyDescent="0.4">
      <c r="A11" s="3" t="s">
        <v>18</v>
      </c>
    </row>
    <row r="12" spans="1:3" x14ac:dyDescent="0.4">
      <c r="B12" t="s">
        <v>46</v>
      </c>
    </row>
    <row r="13" spans="1:3" x14ac:dyDescent="0.4">
      <c r="B13" t="s">
        <v>42</v>
      </c>
      <c r="C13" t="s">
        <v>47</v>
      </c>
    </row>
    <row r="14" spans="1:3" x14ac:dyDescent="0.4">
      <c r="B14" t="s">
        <v>44</v>
      </c>
      <c r="C14" t="s">
        <v>48</v>
      </c>
    </row>
    <row r="15" spans="1:3" x14ac:dyDescent="0.4">
      <c r="B15" t="s">
        <v>49</v>
      </c>
      <c r="C15" t="s">
        <v>50</v>
      </c>
    </row>
    <row r="16" spans="1:3" x14ac:dyDescent="0.4">
      <c r="C16" t="s">
        <v>57</v>
      </c>
    </row>
    <row r="17" spans="1:23" x14ac:dyDescent="0.4">
      <c r="C17" t="s">
        <v>55</v>
      </c>
      <c r="J17" s="11" t="s">
        <v>56</v>
      </c>
      <c r="W17" t="s">
        <v>65</v>
      </c>
    </row>
    <row r="18" spans="1:23" x14ac:dyDescent="0.4">
      <c r="C18" t="s">
        <v>35</v>
      </c>
      <c r="J18" s="11" t="s">
        <v>66</v>
      </c>
      <c r="W18" t="s">
        <v>68</v>
      </c>
    </row>
    <row r="19" spans="1:23" x14ac:dyDescent="0.4">
      <c r="C19" t="s">
        <v>36</v>
      </c>
      <c r="J19" s="11" t="s">
        <v>67</v>
      </c>
      <c r="W19" t="s">
        <v>68</v>
      </c>
    </row>
    <row r="21" spans="1:23" x14ac:dyDescent="0.4">
      <c r="C21" t="s">
        <v>61</v>
      </c>
      <c r="J21" s="4"/>
    </row>
    <row r="22" spans="1:23" x14ac:dyDescent="0.4">
      <c r="C22" t="s">
        <v>37</v>
      </c>
      <c r="J22" s="4" t="s">
        <v>58</v>
      </c>
    </row>
    <row r="23" spans="1:23" x14ac:dyDescent="0.4">
      <c r="C23" t="s">
        <v>38</v>
      </c>
      <c r="J23" s="4" t="s">
        <v>59</v>
      </c>
    </row>
    <row r="24" spans="1:23" x14ac:dyDescent="0.4">
      <c r="C24" t="s">
        <v>35</v>
      </c>
      <c r="J24" s="11" t="s">
        <v>60</v>
      </c>
      <c r="R24" t="s">
        <v>64</v>
      </c>
    </row>
    <row r="25" spans="1:23" x14ac:dyDescent="0.4">
      <c r="C25" t="s">
        <v>36</v>
      </c>
      <c r="J25" s="11" t="s">
        <v>62</v>
      </c>
      <c r="R25" t="s">
        <v>63</v>
      </c>
    </row>
    <row r="26" spans="1:23" x14ac:dyDescent="0.4">
      <c r="J26" s="11"/>
    </row>
    <row r="27" spans="1:23" x14ac:dyDescent="0.4">
      <c r="B27" t="s">
        <v>51</v>
      </c>
      <c r="C27" t="s">
        <v>52</v>
      </c>
    </row>
    <row r="28" spans="1:23" x14ac:dyDescent="0.4">
      <c r="C28" t="s">
        <v>39</v>
      </c>
      <c r="F28" t="s">
        <v>41</v>
      </c>
    </row>
    <row r="29" spans="1:23" x14ac:dyDescent="0.4">
      <c r="C29" t="s">
        <v>40</v>
      </c>
      <c r="F29" t="s">
        <v>69</v>
      </c>
    </row>
    <row r="31" spans="1:23" x14ac:dyDescent="0.4">
      <c r="A31" s="3" t="s">
        <v>21</v>
      </c>
    </row>
    <row r="32" spans="1:23" x14ac:dyDescent="0.4">
      <c r="B32" t="s">
        <v>53</v>
      </c>
    </row>
    <row r="33" spans="2:2" x14ac:dyDescent="0.4">
      <c r="B33" t="s">
        <v>54</v>
      </c>
    </row>
  </sheetData>
  <phoneticPr fontId="1"/>
  <pageMargins left="0.7" right="0.7" top="0.75" bottom="0.75" header="0.3" footer="0.3"/>
  <pageSetup paperSize="9" scale="77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G21"/>
  <sheetViews>
    <sheetView view="pageBreakPreview" zoomScaleNormal="100" zoomScaleSheetLayoutView="100" workbookViewId="0">
      <pane ySplit="1" topLeftCell="A2" activePane="bottomLeft" state="frozen"/>
      <selection pane="bottomLeft" activeCell="F3" sqref="F3"/>
    </sheetView>
  </sheetViews>
  <sheetFormatPr defaultColWidth="8.875" defaultRowHeight="18.75" x14ac:dyDescent="0.4"/>
  <cols>
    <col min="1" max="1" width="48.375" bestFit="1" customWidth="1"/>
    <col min="2" max="2" width="32" customWidth="1"/>
    <col min="3" max="4" width="10.875" style="10" bestFit="1" customWidth="1"/>
    <col min="5" max="6" width="45.875" customWidth="1"/>
  </cols>
  <sheetData>
    <row r="1" spans="1:7" x14ac:dyDescent="0.4">
      <c r="A1" s="6" t="s">
        <v>24</v>
      </c>
      <c r="B1" s="6" t="s">
        <v>25</v>
      </c>
      <c r="C1" s="8" t="s">
        <v>13</v>
      </c>
      <c r="D1" s="8" t="s">
        <v>14</v>
      </c>
      <c r="E1" s="6" t="s">
        <v>33</v>
      </c>
      <c r="F1" s="6" t="s">
        <v>34</v>
      </c>
      <c r="G1" t="s">
        <v>70</v>
      </c>
    </row>
    <row r="2" spans="1:7" x14ac:dyDescent="0.4">
      <c r="A2" s="7" t="s">
        <v>0</v>
      </c>
      <c r="B2" s="7" t="s">
        <v>1</v>
      </c>
      <c r="C2" s="9" t="str" cm="1">
        <f t="array" ref="C2">IF(AND($A2&lt;&gt;"", $B2&lt;&gt;""), MatchName($A2, $B2), "")</f>
        <v>Error: APIキーを設定してください</v>
      </c>
      <c r="D2" s="9" t="str" cm="1">
        <f t="array" ref="D2">IF(AND($A2&lt;&gt;"", $B2&lt;&gt;""), MatchName($A2, $B2, TRUE), "")</f>
        <v>Error: APIキーを設定してください</v>
      </c>
      <c r="E2" s="7" t="str" cm="1">
        <f t="array" ref="E2">IF(AND($A2&lt;&gt;""),PredictKana($A2, 3), "")</f>
        <v>Error: APIキーを設定してください</v>
      </c>
      <c r="F2" s="7" t="str" cm="1">
        <f t="array" ref="F2">IF(AND($B2&lt;&gt;""), PredictKanji($B2, 5), "")</f>
        <v>Error: APIキーを設定してください</v>
      </c>
      <c r="G2" t="s">
        <v>70</v>
      </c>
    </row>
    <row r="3" spans="1:7" x14ac:dyDescent="0.4">
      <c r="A3" s="7" t="s">
        <v>3</v>
      </c>
      <c r="B3" s="7" t="s">
        <v>2</v>
      </c>
      <c r="C3" s="9" t="str" cm="1">
        <f t="array" ref="C3">IF(AND($A3&lt;&gt;"", $B3&lt;&gt;""), MatchName($A3, $B3), "")</f>
        <v>Error: APIキーを設定してください</v>
      </c>
      <c r="D3" s="9" t="str" cm="1">
        <f t="array" ref="D3">IF(AND($A3&lt;&gt;"", $B3&lt;&gt;""), MatchName($A3, $B3, TRUE), "")</f>
        <v>Error: APIキーを設定してください</v>
      </c>
      <c r="E3" s="7" t="str" cm="1">
        <f t="array" ref="E3">IF(AND($A3&lt;&gt;""),PredictKana($A3, 3), "")</f>
        <v>Error: APIキーを設定してください</v>
      </c>
      <c r="F3" s="7" t="str" cm="1">
        <f t="array" ref="F3">IF(AND($B3&lt;&gt;""), PredictKanji($B3, 5), "")</f>
        <v>Error: APIキーを設定してください</v>
      </c>
      <c r="G3" t="s">
        <v>70</v>
      </c>
    </row>
    <row r="4" spans="1:7" x14ac:dyDescent="0.4">
      <c r="A4" s="7" t="s">
        <v>26</v>
      </c>
      <c r="B4" s="7" t="s">
        <v>4</v>
      </c>
      <c r="C4" s="9" t="str" cm="1">
        <f t="array" ref="C4">IF(AND($A4&lt;&gt;"", $B4&lt;&gt;""), MatchName($A4, $B4), "")</f>
        <v>Error: APIキーを設定してください</v>
      </c>
      <c r="D4" s="9" t="str" cm="1">
        <f t="array" ref="D4">IF(AND($A4&lt;&gt;"", $B4&lt;&gt;""), MatchName($A4, $B4, TRUE), "")</f>
        <v>Error: APIキーを設定してください</v>
      </c>
      <c r="E4" s="7" t="str" cm="1">
        <f t="array" ref="E4">IF(AND($A4&lt;&gt;""),PredictKana($A4, 3), "")</f>
        <v>Error: APIキーを設定してください</v>
      </c>
      <c r="F4" s="7" t="str" cm="1">
        <f t="array" ref="F4">IF(AND($B4&lt;&gt;""), PredictKanji($B4, 5), "")</f>
        <v>Error: APIキーを設定してください</v>
      </c>
      <c r="G4" t="s">
        <v>70</v>
      </c>
    </row>
    <row r="5" spans="1:7" x14ac:dyDescent="0.4">
      <c r="A5" s="7" t="s">
        <v>27</v>
      </c>
      <c r="B5" s="7" t="s">
        <v>5</v>
      </c>
      <c r="C5" s="9" t="str" cm="1">
        <f t="array" ref="C5">IF(AND($A5&lt;&gt;"", $B5&lt;&gt;""), MatchName($A5, $B5), "")</f>
        <v>Error: APIキーを設定してください</v>
      </c>
      <c r="D5" s="9" t="str" cm="1">
        <f t="array" ref="D5">IF(AND($A5&lt;&gt;"", $B5&lt;&gt;""), MatchName($A5, $B5, TRUE), "")</f>
        <v>Error: APIキーを設定してください</v>
      </c>
      <c r="E5" s="7" t="str" cm="1">
        <f t="array" ref="E5">IF(AND($A5&lt;&gt;""),PredictKana($A5, 3), "")</f>
        <v>Error: APIキーを設定してください</v>
      </c>
      <c r="F5" s="7" t="str" cm="1">
        <f t="array" ref="F5">IF(AND($B5&lt;&gt;""), PredictKanji($B5, 5), "")</f>
        <v>Error: APIキーを設定してください</v>
      </c>
      <c r="G5" t="s">
        <v>70</v>
      </c>
    </row>
    <row r="6" spans="1:7" x14ac:dyDescent="0.4">
      <c r="A6" s="7" t="s">
        <v>27</v>
      </c>
      <c r="B6" s="7" t="s">
        <v>4</v>
      </c>
      <c r="C6" s="9" t="str" cm="1">
        <f t="array" ref="C6">IF(AND($A6&lt;&gt;"", $B6&lt;&gt;""), MatchName($A6, $B6), "")</f>
        <v>Error: APIキーを設定してください</v>
      </c>
      <c r="D6" s="9" t="str" cm="1">
        <f t="array" ref="D6">IF(AND($A6&lt;&gt;"", $B6&lt;&gt;""), MatchName($A6, $B6, TRUE), "")</f>
        <v>Error: APIキーを設定してください</v>
      </c>
      <c r="E6" s="7" t="str" cm="1">
        <f t="array" ref="E6">IF(AND($A6&lt;&gt;""),PredictKana($A6, 3), "")</f>
        <v>Error: APIキーを設定してください</v>
      </c>
      <c r="F6" s="7" t="str" cm="1">
        <f t="array" ref="F6">IF(AND($B6&lt;&gt;""), PredictKanji($B6, 5), "")</f>
        <v>Error: APIキーを設定してください</v>
      </c>
      <c r="G6" t="s">
        <v>70</v>
      </c>
    </row>
    <row r="7" spans="1:7" x14ac:dyDescent="0.4">
      <c r="A7" s="7" t="s">
        <v>28</v>
      </c>
      <c r="B7" s="7" t="s">
        <v>2</v>
      </c>
      <c r="C7" s="9" t="str" cm="1">
        <f t="array" ref="C7">IF(AND($A7&lt;&gt;"", $B7&lt;&gt;""), MatchName($A7, $B7), "")</f>
        <v>Error: APIキーを設定してください</v>
      </c>
      <c r="D7" s="9" t="str" cm="1">
        <f t="array" ref="D7">IF(AND($A7&lt;&gt;"", $B7&lt;&gt;""), MatchName($A7, $B7, TRUE), "")</f>
        <v>Error: APIキーを設定してください</v>
      </c>
      <c r="E7" s="7" t="str" cm="1">
        <f t="array" ref="E7">IF(AND($A7&lt;&gt;""),PredictKana($A7, 3), "")</f>
        <v>Error: APIキーを設定してください</v>
      </c>
      <c r="F7" s="7" t="str" cm="1">
        <f t="array" ref="F7">IF(AND($B7&lt;&gt;""), PredictKanji($B7, 5), "")</f>
        <v>Error: APIキーを設定してください</v>
      </c>
      <c r="G7" t="s">
        <v>70</v>
      </c>
    </row>
    <row r="8" spans="1:7" x14ac:dyDescent="0.4">
      <c r="A8" s="7" t="s">
        <v>29</v>
      </c>
      <c r="B8" s="7" t="s">
        <v>6</v>
      </c>
      <c r="C8" s="9" t="str" cm="1">
        <f t="array" ref="C8">IF(AND($A8&lt;&gt;"", $B8&lt;&gt;""), MatchName($A8, $B8), "")</f>
        <v>Error: APIキーを設定してください</v>
      </c>
      <c r="D8" s="9" t="str" cm="1">
        <f t="array" ref="D8">IF(AND($A8&lt;&gt;"", $B8&lt;&gt;""), MatchName($A8, $B8, TRUE), "")</f>
        <v>Error: APIキーを設定してください</v>
      </c>
      <c r="E8" s="7" t="str" cm="1">
        <f t="array" ref="E8">IF(AND($A8&lt;&gt;""),PredictKana($A8, 3), "")</f>
        <v>Error: APIキーを設定してください</v>
      </c>
      <c r="F8" s="7" t="str" cm="1">
        <f t="array" ref="F8">IF(AND($B8&lt;&gt;""), PredictKanji($B8, 5), "")</f>
        <v>Error: APIキーを設定してください</v>
      </c>
      <c r="G8" t="s">
        <v>70</v>
      </c>
    </row>
    <row r="9" spans="1:7" x14ac:dyDescent="0.4">
      <c r="A9" s="7" t="s">
        <v>30</v>
      </c>
      <c r="B9" s="7" t="s">
        <v>7</v>
      </c>
      <c r="C9" s="9" t="str" cm="1">
        <f t="array" ref="C9">IF(AND($A9&lt;&gt;"", $B9&lt;&gt;""), MatchName($A9, $B9), "")</f>
        <v>Error: APIキーを設定してください</v>
      </c>
      <c r="D9" s="9" t="str" cm="1">
        <f t="array" ref="D9">IF(AND($A9&lt;&gt;"", $B9&lt;&gt;""), MatchName($A9, $B9, TRUE), "")</f>
        <v>Error: APIキーを設定してください</v>
      </c>
      <c r="E9" s="7" t="str" cm="1">
        <f t="array" ref="E9">IF(AND($A9&lt;&gt;""),PredictKana($A9, 3), "")</f>
        <v>Error: APIキーを設定してください</v>
      </c>
      <c r="F9" s="7" t="str" cm="1">
        <f t="array" ref="F9">IF(AND($B9&lt;&gt;""), PredictKanji($B9, 5), "")</f>
        <v>Error: APIキーを設定してください</v>
      </c>
      <c r="G9" t="s">
        <v>70</v>
      </c>
    </row>
    <row r="10" spans="1:7" x14ac:dyDescent="0.4">
      <c r="A10" s="7" t="s">
        <v>30</v>
      </c>
      <c r="B10" s="7" t="s">
        <v>8</v>
      </c>
      <c r="C10" s="9" t="str" cm="1">
        <f t="array" ref="C10">IF(AND($A10&lt;&gt;"", $B10&lt;&gt;""), MatchName($A10, $B10), "")</f>
        <v>Error: APIキーを設定してください</v>
      </c>
      <c r="D10" s="9" t="str" cm="1">
        <f t="array" ref="D10">IF(AND($A10&lt;&gt;"", $B10&lt;&gt;""), MatchName($A10, $B10, TRUE), "")</f>
        <v>Error: APIキーを設定してください</v>
      </c>
      <c r="E10" s="7" t="str" cm="1">
        <f t="array" ref="E10">IF(AND($A10&lt;&gt;""),PredictKana($A10, 3), "")</f>
        <v>Error: APIキーを設定してください</v>
      </c>
      <c r="F10" s="7" t="str" cm="1">
        <f t="array" ref="F10">IF(AND($B10&lt;&gt;""), PredictKanji($B10, 5), "")</f>
        <v>Error: APIキーを設定してください</v>
      </c>
      <c r="G10" t="s">
        <v>70</v>
      </c>
    </row>
    <row r="11" spans="1:7" x14ac:dyDescent="0.4">
      <c r="A11" s="7" t="s">
        <v>31</v>
      </c>
      <c r="B11" s="7" t="s">
        <v>9</v>
      </c>
      <c r="C11" s="9" t="str" cm="1">
        <f t="array" ref="C11">IF(AND($A11&lt;&gt;"", $B11&lt;&gt;""), MatchName($A11, $B11), "")</f>
        <v>Error: APIキーを設定してください</v>
      </c>
      <c r="D11" s="9" t="str" cm="1">
        <f t="array" ref="D11">IF(AND($A11&lt;&gt;"", $B11&lt;&gt;""), MatchName($A11, $B11, TRUE), "")</f>
        <v>Error: APIキーを設定してください</v>
      </c>
      <c r="E11" s="7" t="str" cm="1">
        <f t="array" ref="E11">IF(AND($A11&lt;&gt;""),PredictKana($A11, 3), "")</f>
        <v>Error: APIキーを設定してください</v>
      </c>
      <c r="F11" s="7" t="str" cm="1">
        <f t="array" ref="F11">IF(AND($B11&lt;&gt;""), PredictKanji($B11, 5), "")</f>
        <v>Error: APIキーを設定してください</v>
      </c>
      <c r="G11" t="s">
        <v>70</v>
      </c>
    </row>
    <row r="12" spans="1:7" x14ac:dyDescent="0.4">
      <c r="A12" s="7" t="s">
        <v>31</v>
      </c>
      <c r="B12" s="7" t="s">
        <v>4</v>
      </c>
      <c r="C12" s="9" t="str" cm="1">
        <f t="array" ref="C12">IF(AND($A12&lt;&gt;"", $B12&lt;&gt;""), MatchName($A12, $B12), "")</f>
        <v>Error: APIキーを設定してください</v>
      </c>
      <c r="D12" s="9" t="str" cm="1">
        <f t="array" ref="D12">IF(AND($A12&lt;&gt;"", $B12&lt;&gt;""), MatchName($A12, $B12, TRUE), "")</f>
        <v>Error: APIキーを設定してください</v>
      </c>
      <c r="E12" s="7" t="str" cm="1">
        <f t="array" ref="E12">IF(AND($A12&lt;&gt;""),PredictKana($A12, 3), "")</f>
        <v>Error: APIキーを設定してください</v>
      </c>
      <c r="F12" s="7" t="str" cm="1">
        <f t="array" ref="F12">IF(AND($B12&lt;&gt;""), PredictKanji($B12, 5), "")</f>
        <v>Error: APIキーを設定してください</v>
      </c>
      <c r="G12" t="s">
        <v>70</v>
      </c>
    </row>
    <row r="13" spans="1:7" x14ac:dyDescent="0.4">
      <c r="A13" s="7" t="s">
        <v>32</v>
      </c>
      <c r="B13" s="7" t="s">
        <v>10</v>
      </c>
      <c r="C13" s="9" t="str" cm="1">
        <f t="array" ref="C13">IF(AND($A13&lt;&gt;"", $B13&lt;&gt;""), MatchName($A13, $B13), "")</f>
        <v>Error: APIキーを設定してください</v>
      </c>
      <c r="D13" s="9" t="str" cm="1">
        <f t="array" ref="D13">IF(AND($A13&lt;&gt;"", $B13&lt;&gt;""), MatchName($A13, $B13, TRUE), "")</f>
        <v>Error: APIキーを設定してください</v>
      </c>
      <c r="E13" s="7" t="str" cm="1">
        <f t="array" ref="E13">IF(AND($A13&lt;&gt;""),PredictKana($A13, 3), "")</f>
        <v>Error: APIキーを設定してください</v>
      </c>
      <c r="F13" s="7" t="str" cm="1">
        <f t="array" ref="F13">IF(AND($B13&lt;&gt;""), PredictKanji($B13, 5), "")</f>
        <v>Error: APIキーを設定してください</v>
      </c>
      <c r="G13" t="s">
        <v>70</v>
      </c>
    </row>
    <row r="14" spans="1:7" x14ac:dyDescent="0.4">
      <c r="A14" s="7" t="s">
        <v>32</v>
      </c>
      <c r="B14" s="7" t="s">
        <v>11</v>
      </c>
      <c r="C14" s="9" t="str" cm="1">
        <f t="array" ref="C14">IF(AND($A14&lt;&gt;"", $B14&lt;&gt;""), MatchName($A14, $B14), "")</f>
        <v>Error: APIキーを設定してください</v>
      </c>
      <c r="D14" s="9" t="str" cm="1">
        <f t="array" ref="D14">IF(AND($A14&lt;&gt;"", $B14&lt;&gt;""), MatchName($A14, $B14, TRUE), "")</f>
        <v>Error: APIキーを設定してください</v>
      </c>
      <c r="E14" s="7" t="str" cm="1">
        <f t="array" ref="E14">IF(AND($A14&lt;&gt;""),PredictKana($A14, 3), "")</f>
        <v>Error: APIキーを設定してください</v>
      </c>
      <c r="F14" s="7" t="str" cm="1">
        <f t="array" ref="F14">IF(AND($B14&lt;&gt;""), PredictKanji($B14, 5), "")</f>
        <v>Error: APIキーを設定してください</v>
      </c>
      <c r="G14" t="s">
        <v>70</v>
      </c>
    </row>
    <row r="15" spans="1:7" x14ac:dyDescent="0.4">
      <c r="A15" s="7" t="s">
        <v>32</v>
      </c>
      <c r="B15" s="7" t="s">
        <v>12</v>
      </c>
      <c r="C15" s="9" t="str" cm="1">
        <f t="array" ref="C15">IF(AND($A15&lt;&gt;"", $B15&lt;&gt;""), MatchName($A15, $B15), "")</f>
        <v>Error: APIキーを設定してください</v>
      </c>
      <c r="D15" s="9" t="str" cm="1">
        <f t="array" ref="D15">IF(AND($A15&lt;&gt;"", $B15&lt;&gt;""), MatchName($A15, $B15, TRUE), "")</f>
        <v>Error: APIキーを設定してください</v>
      </c>
      <c r="E15" s="7" t="str" cm="1">
        <f t="array" ref="E15">IF(AND($A15&lt;&gt;""),PredictKana($A15, 3), "")</f>
        <v>Error: APIキーを設定してください</v>
      </c>
      <c r="F15" s="7" t="str" cm="1">
        <f t="array" ref="F15">IF(AND($B15&lt;&gt;""), PredictKanji($B15, 5), "")</f>
        <v>Error: APIキーを設定してください</v>
      </c>
      <c r="G15" t="s">
        <v>70</v>
      </c>
    </row>
    <row r="16" spans="1:7" x14ac:dyDescent="0.4">
      <c r="A16" s="7" t="s">
        <v>32</v>
      </c>
      <c r="B16" s="7" t="s">
        <v>15</v>
      </c>
      <c r="C16" s="9" t="str" cm="1">
        <f t="array" ref="C16">IF(AND($A16&lt;&gt;"", $B16&lt;&gt;""), MatchName($A16, $B16), "")</f>
        <v>Error: APIキーを設定してください</v>
      </c>
      <c r="D16" s="9" t="str" cm="1">
        <f t="array" ref="D16">IF(AND($A16&lt;&gt;"", $B16&lt;&gt;""), MatchName($A16, $B16, TRUE), "")</f>
        <v>Error: APIキーを設定してください</v>
      </c>
      <c r="E16" s="7" t="str" cm="1">
        <f t="array" ref="E16">IF(AND($A16&lt;&gt;""),PredictKana($A16, 3), "")</f>
        <v>Error: APIキーを設定してください</v>
      </c>
      <c r="F16" s="7" t="str" cm="1">
        <f t="array" ref="F16">IF(AND($B16&lt;&gt;""), PredictKanji($B16, 5), "")</f>
        <v>Error: APIキーを設定してください</v>
      </c>
      <c r="G16" t="s">
        <v>70</v>
      </c>
    </row>
    <row r="17" spans="1:7" x14ac:dyDescent="0.4">
      <c r="A17" s="7"/>
      <c r="B17" s="7"/>
      <c r="C17" s="9" t="str" cm="1">
        <f t="array" ref="C17">IF(AND($A17&lt;&gt;"", $B17&lt;&gt;""), MatchName($A17, $B17), "")</f>
        <v/>
      </c>
      <c r="D17" s="9" t="str" cm="1">
        <f t="array" ref="D17">IF(AND($A17&lt;&gt;"", $B17&lt;&gt;""), MatchName($A17, $B17, TRUE), "")</f>
        <v/>
      </c>
      <c r="E17" s="7" t="str" cm="1">
        <f t="array" ref="E17">IF(AND($A17&lt;&gt;""),PredictKana($A17, 3), "")</f>
        <v/>
      </c>
      <c r="F17" s="7" t="str" cm="1">
        <f t="array" ref="F17">IF(AND($B17&lt;&gt;""), PredictKanji($B17, 5), "")</f>
        <v/>
      </c>
      <c r="G17" t="s">
        <v>70</v>
      </c>
    </row>
    <row r="18" spans="1:7" x14ac:dyDescent="0.4">
      <c r="A18" s="7"/>
      <c r="B18" s="7"/>
      <c r="C18" s="9" t="str" cm="1">
        <f t="array" ref="C18">IF(AND($A18&lt;&gt;"", $B18&lt;&gt;""), MatchName($A18, $B18), "")</f>
        <v/>
      </c>
      <c r="D18" s="9" t="str" cm="1">
        <f t="array" ref="D18">IF(AND($A18&lt;&gt;"", $B18&lt;&gt;""), MatchName($A18, $B18, TRUE), "")</f>
        <v/>
      </c>
      <c r="E18" s="7" t="str" cm="1">
        <f t="array" ref="E18">IF(AND($A18&lt;&gt;""),PredictKana($A18, 3), "")</f>
        <v/>
      </c>
      <c r="F18" s="7" t="str" cm="1">
        <f t="array" ref="F18">IF(AND($B18&lt;&gt;""), PredictKanji($B18, 5), "")</f>
        <v/>
      </c>
      <c r="G18" t="s">
        <v>70</v>
      </c>
    </row>
    <row r="19" spans="1:7" x14ac:dyDescent="0.4">
      <c r="A19" s="7"/>
      <c r="B19" s="7"/>
      <c r="C19" s="9" t="str" cm="1">
        <f t="array" ref="C19">IF(AND($A19&lt;&gt;"", $B19&lt;&gt;""), MatchName($A19, $B19), "")</f>
        <v/>
      </c>
      <c r="D19" s="9" t="str" cm="1">
        <f t="array" ref="D19">IF(AND($A19&lt;&gt;"", $B19&lt;&gt;""), MatchName($A19, $B19, TRUE), "")</f>
        <v/>
      </c>
      <c r="E19" s="7" t="str" cm="1">
        <f t="array" ref="E19">IF(AND($A19&lt;&gt;""),PredictKana($A19, 3), "")</f>
        <v/>
      </c>
      <c r="F19" s="7" t="str" cm="1">
        <f t="array" ref="F19">IF(AND($B19&lt;&gt;""), PredictKanji($B19, 5), "")</f>
        <v/>
      </c>
      <c r="G19" t="s">
        <v>70</v>
      </c>
    </row>
    <row r="20" spans="1:7" x14ac:dyDescent="0.4">
      <c r="A20" s="7"/>
      <c r="B20" s="7"/>
      <c r="C20" s="9" t="str" cm="1">
        <f t="array" ref="C20">IF(AND($A20&lt;&gt;"", $B20&lt;&gt;""), MatchName($A20, $B20), "")</f>
        <v/>
      </c>
      <c r="D20" s="9" t="str" cm="1">
        <f t="array" ref="D20">IF(AND($A20&lt;&gt;"", $B20&lt;&gt;""), MatchName($A20, $B20, TRUE), "")</f>
        <v/>
      </c>
      <c r="E20" s="7" t="str" cm="1">
        <f t="array" ref="E20">IF(AND($A20&lt;&gt;""),PredictKana($A20, 3), "")</f>
        <v/>
      </c>
      <c r="F20" s="7" t="str" cm="1">
        <f t="array" ref="F20">IF(AND($B20&lt;&gt;""), PredictKanji($B20, 5), "")</f>
        <v/>
      </c>
      <c r="G20" t="s">
        <v>70</v>
      </c>
    </row>
    <row r="21" spans="1:7" x14ac:dyDescent="0.4">
      <c r="F21" s="1"/>
    </row>
  </sheetData>
  <phoneticPr fontId="1"/>
  <pageMargins left="0.70866141732283472" right="0.70866141732283472" top="0.74803149606299213" bottom="0.74803149606299213" header="0.31496062992125984" footer="0.31496062992125984"/>
  <pageSetup paperSize="9" scale="62" fitToHeight="0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BB4C49-18E0-4F3A-B34D-785C8F7DAA5A}">
  <sheetPr codeName="Sheet2">
    <pageSetUpPr fitToPage="1"/>
  </sheetPr>
  <dimension ref="A1:C2"/>
  <sheetViews>
    <sheetView view="pageBreakPreview" zoomScaleNormal="100" zoomScaleSheetLayoutView="100" workbookViewId="0">
      <selection activeCell="B18" sqref="B18"/>
    </sheetView>
  </sheetViews>
  <sheetFormatPr defaultColWidth="8.875" defaultRowHeight="18.75" x14ac:dyDescent="0.4"/>
  <cols>
    <col min="1" max="1" width="11.375" style="2" bestFit="1" customWidth="1"/>
    <col min="2" max="2" width="44.625" style="2" customWidth="1"/>
    <col min="3" max="16384" width="8.875" style="2"/>
  </cols>
  <sheetData>
    <row r="1" spans="1:3" x14ac:dyDescent="0.4">
      <c r="A1" s="6" t="s">
        <v>72</v>
      </c>
      <c r="B1" s="5" t="s">
        <v>22</v>
      </c>
    </row>
    <row r="2" spans="1:3" x14ac:dyDescent="0.4">
      <c r="A2" s="6" t="s">
        <v>73</v>
      </c>
      <c r="B2" s="5" t="s">
        <v>71</v>
      </c>
      <c r="C2" s="2" t="s">
        <v>23</v>
      </c>
    </row>
  </sheetData>
  <phoneticPr fontId="1"/>
  <pageMargins left="0.7" right="0.7" top="0.75" bottom="0.75" header="0.3" footer="0.3"/>
  <pageSetup paperSize="9" orientation="landscape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248B9C8D5F3C5545995E9FB025E093BB" ma:contentTypeVersion="16" ma:contentTypeDescription="新しいドキュメントを作成します。" ma:contentTypeScope="" ma:versionID="2a4d6d10739210e61d815fb69dd599ba">
  <xsd:schema xmlns:xsd="http://www.w3.org/2001/XMLSchema" xmlns:xs="http://www.w3.org/2001/XMLSchema" xmlns:p="http://schemas.microsoft.com/office/2006/metadata/properties" xmlns:ns2="2c2ea97d-241e-4e91-9b61-160e585a129d" xmlns:ns3="ed9888db-c08f-4880-8c8f-9300fabbe8b3" targetNamespace="http://schemas.microsoft.com/office/2006/metadata/properties" ma:root="true" ma:fieldsID="84440e20ec53cc54bdda027aa7be509b" ns2:_="" ns3:_="">
    <xsd:import namespace="2c2ea97d-241e-4e91-9b61-160e585a129d"/>
    <xsd:import namespace="ed9888db-c08f-4880-8c8f-9300fabbe8b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LengthInSeconds" minOccurs="0"/>
                <xsd:element ref="ns2:MediaServiceLocation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3:SharedWithUsers" minOccurs="0"/>
                <xsd:element ref="ns3:SharedWithDetails" minOccurs="0"/>
                <xsd:element ref="ns2:_Flow_SignoffStatu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c2ea97d-241e-4e91-9b61-160e585a129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11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2" nillable="true" ma:displayName="Location" ma:indexed="true" ma:internalName="MediaServiceLocatio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画像タグ" ma:readOnly="false" ma:fieldId="{5cf76f15-5ced-4ddc-b409-7134ff3c332f}" ma:taxonomyMulti="true" ma:sspId="1e1c6816-2a4f-4461-93c7-8dd281d622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_Flow_SignoffStatus" ma:index="21" nillable="true" ma:displayName="承認の状態" ma:internalName="_x627f__x8a8d__x306e__x72b6__x614b_">
      <xsd:simpleType>
        <xsd:restriction base="dms:Text"/>
      </xsd:simpleType>
    </xsd:element>
    <xsd:element name="MediaServiceObjectDetectorVersions" ma:index="22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3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d9888db-c08f-4880-8c8f-9300fabbe8b3" elementFormDefault="qualified">
    <xsd:import namespace="http://schemas.microsoft.com/office/2006/documentManagement/types"/>
    <xsd:import namespace="http://schemas.microsoft.com/office/infopath/2007/PartnerControls"/>
    <xsd:element name="TaxCatchAll" ma:index="17" nillable="true" ma:displayName="Taxonomy Catch All Column" ma:hidden="true" ma:list="{95d0f9c1-7d88-4bf0-a770-f26eb898425e}" ma:internalName="TaxCatchAll" ma:showField="CatchAllData" ma:web="ed9888db-c08f-4880-8c8f-9300fabbe8b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9" nillable="true" ma:displayName="共有相手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0" nillable="true" ma:displayName="共有相手の詳細情報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2c2ea97d-241e-4e91-9b61-160e585a129d">
      <Terms xmlns="http://schemas.microsoft.com/office/infopath/2007/PartnerControls"/>
    </lcf76f155ced4ddcb4097134ff3c332f>
    <TaxCatchAll xmlns="ed9888db-c08f-4880-8c8f-9300fabbe8b3" xsi:nil="true"/>
    <_Flow_SignoffStatus xmlns="2c2ea97d-241e-4e91-9b61-160e585a129d" xsi:nil="true"/>
  </documentManagement>
</p:properties>
</file>

<file path=customXml/itemProps1.xml><?xml version="1.0" encoding="utf-8"?>
<ds:datastoreItem xmlns:ds="http://schemas.openxmlformats.org/officeDocument/2006/customXml" ds:itemID="{0CFCC605-8E08-4F2B-9053-5F833F3B4CC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c2ea97d-241e-4e91-9b61-160e585a129d"/>
    <ds:schemaRef ds:uri="ed9888db-c08f-4880-8c8f-9300fabbe8b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3568B76B-D7B0-47F8-AFAA-3C1C8853D84B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EC147E8A-1973-4281-A22B-321CF078A0ED}">
  <ds:schemaRefs>
    <ds:schemaRef ds:uri="http://schemas.microsoft.com/office/2006/documentManagement/types"/>
    <ds:schemaRef ds:uri="http://www.w3.org/XML/1998/namespace"/>
    <ds:schemaRef ds:uri="http://purl.org/dc/dcmitype/"/>
    <ds:schemaRef ds:uri="http://schemas.openxmlformats.org/package/2006/metadata/core-properties"/>
    <ds:schemaRef ds:uri="ed9888db-c08f-4880-8c8f-9300fabbe8b3"/>
    <ds:schemaRef ds:uri="http://schemas.microsoft.com/office/infopath/2007/PartnerControls"/>
    <ds:schemaRef ds:uri="2c2ea97d-241e-4e91-9b61-160e585a129d"/>
    <ds:schemaRef ds:uri="http://schemas.microsoft.com/office/2006/metadata/properties"/>
    <ds:schemaRef ds:uri="http://purl.org/dc/terms/"/>
    <ds:schemaRef ds:uri="http://purl.org/dc/elements/1.1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4</vt:i4>
      </vt:variant>
    </vt:vector>
  </HeadingPairs>
  <TitlesOfParts>
    <vt:vector size="7" baseType="lpstr">
      <vt:lpstr>README</vt:lpstr>
      <vt:lpstr>氏名突合・推定</vt:lpstr>
      <vt:lpstr>API設定</vt:lpstr>
      <vt:lpstr>API設定!Print_Area</vt:lpstr>
      <vt:lpstr>README!Print_Area</vt:lpstr>
      <vt:lpstr>氏名突合・推定!Print_Area</vt:lpstr>
      <vt:lpstr>氏名突合・推定!Print_Titles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>1</cp:revision>
  <dcterms:created xsi:type="dcterms:W3CDTF">2025-03-11T12:40:20Z</dcterms:created>
  <dcterms:modified xsi:type="dcterms:W3CDTF">2025-03-12T08:44:43Z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0x010100248B9C8D5F3C5545995E9FB025E093BB</vt:lpwstr>
  </property>
  <property fmtid="{D5CDD505-2E9C-101B-9397-08002B2CF9AE}" pid="3" name="MediaServiceImageTags">
    <vt:lpwstr/>
  </property>
</Properties>
</file>